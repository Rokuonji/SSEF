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JugendForscht\"/>
    </mc:Choice>
  </mc:AlternateContent>
  <xr:revisionPtr revIDLastSave="0" documentId="13_ncr:1_{2117EED1-B2E7-498A-9914-19B8999625D4}" xr6:coauthVersionLast="47" xr6:coauthVersionMax="47" xr10:uidLastSave="{00000000-0000-0000-0000-000000000000}"/>
  <bookViews>
    <workbookView xWindow="-120" yWindow="-120" windowWidth="38640" windowHeight="21840" xr2:uid="{87674560-DB68-48C2-A850-BF592A03D5DF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G23" i="1" s="1"/>
  <c r="H23" i="1" s="1"/>
  <c r="C23" i="1"/>
  <c r="F22" i="1"/>
  <c r="G22" i="1" s="1"/>
  <c r="H22" i="1" s="1"/>
  <c r="C22" i="1"/>
  <c r="H21" i="1"/>
  <c r="G21" i="1"/>
  <c r="F21" i="1"/>
  <c r="C21" i="1"/>
  <c r="F20" i="1"/>
  <c r="G20" i="1" s="1"/>
  <c r="H20" i="1" s="1"/>
  <c r="C20" i="1"/>
  <c r="F19" i="1"/>
  <c r="G19" i="1" s="1"/>
  <c r="H19" i="1" s="1"/>
  <c r="C19" i="1"/>
  <c r="H15" i="1"/>
  <c r="G15" i="1"/>
  <c r="F15" i="1"/>
  <c r="C15" i="1"/>
  <c r="F14" i="1"/>
  <c r="G14" i="1" s="1"/>
  <c r="H14" i="1" s="1"/>
  <c r="C14" i="1"/>
  <c r="F13" i="1"/>
  <c r="C13" i="1"/>
  <c r="H12" i="1"/>
  <c r="G12" i="1"/>
  <c r="F12" i="1"/>
  <c r="C12" i="1"/>
  <c r="F11" i="1"/>
  <c r="G11" i="1" s="1"/>
  <c r="H11" i="1" s="1"/>
  <c r="C11" i="1"/>
  <c r="F7" i="1"/>
  <c r="G7" i="1" s="1"/>
  <c r="H7" i="1" s="1"/>
  <c r="C7" i="1"/>
  <c r="H6" i="1"/>
  <c r="G6" i="1"/>
  <c r="F6" i="1"/>
  <c r="C6" i="1"/>
  <c r="F5" i="1"/>
  <c r="G5" i="1" s="1"/>
  <c r="H5" i="1" s="1"/>
  <c r="C5" i="1"/>
  <c r="F4" i="1"/>
  <c r="G4" i="1" s="1"/>
  <c r="H4" i="1" s="1"/>
  <c r="C4" i="1"/>
  <c r="H3" i="1"/>
  <c r="G3" i="1"/>
  <c r="F3" i="1"/>
  <c r="C3" i="1"/>
  <c r="G13" i="1" l="1"/>
  <c r="H13" i="1" s="1"/>
</calcChain>
</file>

<file path=xl/sharedStrings.xml><?xml version="1.0" encoding="utf-8"?>
<sst xmlns="http://schemas.openxmlformats.org/spreadsheetml/2006/main" count="27" uniqueCount="11">
  <si>
    <t>Bohemian</t>
  </si>
  <si>
    <t>Bitrate</t>
  </si>
  <si>
    <t>Dateigröße</t>
  </si>
  <si>
    <t>S_norm</t>
  </si>
  <si>
    <t>Q_subj</t>
  </si>
  <si>
    <t>ODG</t>
  </si>
  <si>
    <t>Q_obj</t>
  </si>
  <si>
    <t>Q_total</t>
  </si>
  <si>
    <t>Conan</t>
  </si>
  <si>
    <t>Tom's Diner</t>
  </si>
  <si>
    <t>SSEF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</si>
</sst>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0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Bohemian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[1]Tabelle1!$H$3:$H$7</c:f>
              <c:numCache>
                <c:formatCode>General</c:formatCode>
                <c:ptCount val="5"/>
                <c:pt idx="0">
                  <c:v>0.14091000000000001</c:v>
                </c:pt>
                <c:pt idx="1">
                  <c:v>0.20324524464487034</c:v>
                </c:pt>
                <c:pt idx="2">
                  <c:v>0.44882582638105994</c:v>
                </c:pt>
                <c:pt idx="3">
                  <c:v>0.3118882829763247</c:v>
                </c:pt>
                <c:pt idx="4">
                  <c:v>4.2755000000000001E-2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6-4962-B97D-830B66BF6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331743"/>
        <c:axId val="475239759"/>
      </c:lineChart>
      <c:catAx>
        <c:axId val="23633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5239759"/>
        <c:crosses val="autoZero"/>
        <c:auto val="1"/>
        <c:lblAlgn val="ctr"/>
        <c:lblOffset val="100"/>
        <c:noMultiLvlLbl val="0"/>
      </c:catAx>
      <c:valAx>
        <c:axId val="47523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633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[1]Tabelle1!$H$11:$H$15</c:f>
              <c:numCache>
                <c:formatCode>General</c:formatCode>
                <c:ptCount val="5"/>
                <c:pt idx="0">
                  <c:v>9.9750000000000033E-2</c:v>
                </c:pt>
                <c:pt idx="1">
                  <c:v>0.30760631341600903</c:v>
                </c:pt>
                <c:pt idx="2">
                  <c:v>0.61061121533258189</c:v>
                </c:pt>
                <c:pt idx="3">
                  <c:v>0.34374968996617811</c:v>
                </c:pt>
                <c:pt idx="4">
                  <c:v>4.2099000000000004E-2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71-4239-8C2D-5C423E663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266703"/>
        <c:axId val="477267935"/>
      </c:lineChart>
      <c:catAx>
        <c:axId val="47726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7267935"/>
        <c:crosses val="autoZero"/>
        <c:auto val="1"/>
        <c:lblAlgn val="ctr"/>
        <c:lblOffset val="100"/>
        <c:noMultiLvlLbl val="0"/>
      </c:catAx>
      <c:valAx>
        <c:axId val="47726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7726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Tom's</a:t>
            </a:r>
            <a:r>
              <a:rPr lang="de-DE" baseline="0"/>
              <a:t> Diner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[1]Tabelle1!$H$19:$H$23</c:f>
              <c:numCache>
                <c:formatCode>General</c:formatCode>
                <c:ptCount val="5"/>
                <c:pt idx="0">
                  <c:v>7.9400999999999985E-2</c:v>
                </c:pt>
                <c:pt idx="1">
                  <c:v>0.19966275648252535</c:v>
                </c:pt>
                <c:pt idx="2">
                  <c:v>0.52860374520856834</c:v>
                </c:pt>
                <c:pt idx="3">
                  <c:v>0.30710601127395715</c:v>
                </c:pt>
                <c:pt idx="4">
                  <c:v>3.9744000000000002E-2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2B-4803-8907-B2073289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926511"/>
        <c:axId val="522926031"/>
      </c:lineChart>
      <c:catAx>
        <c:axId val="52292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2926031"/>
        <c:crosses val="autoZero"/>
        <c:auto val="1"/>
        <c:lblAlgn val="ctr"/>
        <c:lblOffset val="100"/>
        <c:noMultiLvlLbl val="0"/>
      </c:catAx>
      <c:valAx>
        <c:axId val="52292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292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207063</xdr:colOff>
      <xdr:row>0</xdr:row>
      <xdr:rowOff>41414</xdr:rowOff>
    </xdr:from>
    <xdr:to>
      <xdr:col>12</xdr:col>
      <xdr:colOff>256760</xdr:colOff>
      <xdr:row>12</xdr:row>
      <xdr:rowOff>87796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4985346-E091-47E2-9197-38556A856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455542</xdr:colOff>
      <xdr:row>6</xdr:row>
      <xdr:rowOff>157368</xdr:rowOff>
    </xdr:from>
    <xdr:to>
      <xdr:col>16</xdr:col>
      <xdr:colOff>612912</xdr:colOff>
      <xdr:row>18</xdr:row>
      <xdr:rowOff>54663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0E63017-4B28-4D0A-925C-E3716E867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248479</xdr:colOff>
      <xdr:row>15</xdr:row>
      <xdr:rowOff>24849</xdr:rowOff>
    </xdr:from>
    <xdr:to>
      <xdr:col>12</xdr:col>
      <xdr:colOff>165653</xdr:colOff>
      <xdr:row>25</xdr:row>
      <xdr:rowOff>79513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EADA32A-E82F-41A2-98FE-58BA46D24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nas\Desktop\JugendForscht\SSF-Berechnung.xlsx" TargetMode="External"/><Relationship Id="rId1" Type="http://schemas.openxmlformats.org/officeDocument/2006/relationships/externalLinkPath" Target="SSF-Berechnu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</sheetNames>
    <sheetDataSet>
      <sheetData sheetId="0">
        <row r="3">
          <cell r="H3">
            <v>0.14091000000000001</v>
          </cell>
        </row>
        <row r="4">
          <cell r="H4">
            <v>0.20324524464487034</v>
          </cell>
        </row>
        <row r="5">
          <cell r="H5">
            <v>0.44882582638105994</v>
          </cell>
        </row>
        <row r="6">
          <cell r="H6">
            <v>0.3118882829763247</v>
          </cell>
        </row>
        <row r="7">
          <cell r="H7">
            <v>4.2755000000000001E-2</v>
          </cell>
        </row>
        <row r="11">
          <cell r="H11">
            <v>9.9750000000000033E-2</v>
          </cell>
        </row>
        <row r="12">
          <cell r="H12">
            <v>0.30760631341600903</v>
          </cell>
        </row>
        <row r="13">
          <cell r="H13">
            <v>0.61061121533258189</v>
          </cell>
        </row>
        <row r="14">
          <cell r="H14">
            <v>0.34374968996617811</v>
          </cell>
        </row>
        <row r="15">
          <cell r="H15">
            <v>4.2099000000000004E-2</v>
          </cell>
        </row>
        <row r="19">
          <cell r="H19">
            <v>7.9400999999999985E-2</v>
          </cell>
        </row>
        <row r="20">
          <cell r="H20">
            <v>0.19966275648252535</v>
          </cell>
        </row>
        <row r="21">
          <cell r="H21">
            <v>0.52860374520856834</v>
          </cell>
        </row>
        <row r="22">
          <cell r="H22">
            <v>0.30710601127395715</v>
          </cell>
        </row>
        <row r="23">
          <cell r="H23">
            <v>3.9744000000000002E-2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7837-C72D-4651-8026-D2235ABFE174}">
  <dimension ref="A1:M56"/>
  <sheetViews>
    <sheetView tabSelected="1" zoomScale="115" zoomScaleNormal="115" workbookViewId="0">
      <selection activeCell="H18" sqref="H18"/>
    </sheetView>
  </sheetViews>
  <sheetFormatPr baseColWidth="10" defaultRowHeight="15" x14ac:dyDescent="0.25"/>
  <sheetData>
    <row r="1" spans="1:8" x14ac:dyDescent="0.25">
      <c r="A1" t="s">
        <v>0</v>
      </c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10</v>
      </c>
    </row>
    <row r="3" spans="1:8" x14ac:dyDescent="0.25">
      <c r="A3">
        <v>32</v>
      </c>
      <c r="B3">
        <v>19.600000000000001</v>
      </c>
      <c r="C3">
        <f>(B3-B3)/(B7-B3)</f>
        <v>0</v>
      </c>
      <c r="D3">
        <v>0.02</v>
      </c>
      <c r="E3">
        <v>-2.778</v>
      </c>
      <c r="F3">
        <f>(E3+4)/4</f>
        <v>0.30549999999999999</v>
      </c>
      <c r="G3">
        <f>0.6*D3+0.4*F3</f>
        <v>0.13420000000000001</v>
      </c>
      <c r="H3">
        <f>G3*(1-C3+0.05)</f>
        <v>0.14091000000000001</v>
      </c>
    </row>
    <row r="4" spans="1:8" x14ac:dyDescent="0.25">
      <c r="A4">
        <v>64</v>
      </c>
      <c r="B4">
        <v>39.5</v>
      </c>
      <c r="C4">
        <f>(B4-B3)/(B7-B3)</f>
        <v>0.11217587373167981</v>
      </c>
      <c r="D4">
        <v>0.22919999999999999</v>
      </c>
      <c r="E4">
        <v>-3.2080000000000002</v>
      </c>
      <c r="F4">
        <f t="shared" ref="F4:F7" si="0">(E4+4)/4</f>
        <v>0.19799999999999995</v>
      </c>
      <c r="G4">
        <f>0.6*D4+0.4*F4</f>
        <v>0.21671999999999997</v>
      </c>
      <c r="H4">
        <f>G4*(1-C4+0.05)</f>
        <v>0.20324524464487034</v>
      </c>
    </row>
    <row r="5" spans="1:8" x14ac:dyDescent="0.25">
      <c r="A5">
        <v>128</v>
      </c>
      <c r="B5">
        <v>79.099999999999994</v>
      </c>
      <c r="C5">
        <f>(B5-B3)/(B7-B3)</f>
        <v>0.33540022547914311</v>
      </c>
      <c r="D5">
        <v>0.52080000000000004</v>
      </c>
      <c r="E5">
        <v>-0.84399999999999997</v>
      </c>
      <c r="F5">
        <f t="shared" si="0"/>
        <v>0.78900000000000003</v>
      </c>
      <c r="G5">
        <f>0.6*D5+0.4*F5</f>
        <v>0.62808000000000008</v>
      </c>
      <c r="H5" s="2">
        <f>G5*(1-C5+0.05)</f>
        <v>0.44882582638105994</v>
      </c>
    </row>
    <row r="6" spans="1:8" x14ac:dyDescent="0.25">
      <c r="A6">
        <v>224</v>
      </c>
      <c r="B6">
        <v>138</v>
      </c>
      <c r="C6">
        <f>(B6-B3)/(B7-B3)</f>
        <v>0.66741826381059755</v>
      </c>
      <c r="D6">
        <v>0.66669999999999996</v>
      </c>
      <c r="E6">
        <v>0.152</v>
      </c>
      <c r="F6">
        <f t="shared" si="0"/>
        <v>1.038</v>
      </c>
      <c r="G6">
        <f>0.6*D6+0.4*F6</f>
        <v>0.81522000000000006</v>
      </c>
      <c r="H6">
        <f>G6*(1-C6+0.05)</f>
        <v>0.3118882829763247</v>
      </c>
    </row>
    <row r="7" spans="1:8" x14ac:dyDescent="0.25">
      <c r="A7">
        <v>320</v>
      </c>
      <c r="B7">
        <v>197</v>
      </c>
      <c r="C7">
        <f>(B7-B3)/(B7-B3)</f>
        <v>1</v>
      </c>
      <c r="D7">
        <v>0.75</v>
      </c>
      <c r="E7">
        <v>5.0999999999999997E-2</v>
      </c>
      <c r="F7">
        <f t="shared" si="0"/>
        <v>1.01275</v>
      </c>
      <c r="G7">
        <f>0.6*D7+0.4*F7</f>
        <v>0.85509999999999997</v>
      </c>
      <c r="H7">
        <f>G7*(1-C7+0.05)</f>
        <v>4.2755000000000001E-2</v>
      </c>
    </row>
    <row r="9" spans="1:8" x14ac:dyDescent="0.25">
      <c r="A9" t="s">
        <v>8</v>
      </c>
    </row>
    <row r="10" spans="1:8" x14ac:dyDescent="0.25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10</v>
      </c>
    </row>
    <row r="11" spans="1:8" x14ac:dyDescent="0.25">
      <c r="A11">
        <v>32</v>
      </c>
      <c r="B11">
        <v>19.600000000000001</v>
      </c>
      <c r="C11">
        <f>(B11-B11)/(B15-B11)</f>
        <v>0</v>
      </c>
      <c r="D11">
        <v>0</v>
      </c>
      <c r="E11">
        <v>-3.05</v>
      </c>
      <c r="F11">
        <f>(E11+4)/4</f>
        <v>0.23750000000000004</v>
      </c>
      <c r="G11">
        <f>0.6*D11+0.4*F11</f>
        <v>9.5000000000000029E-2</v>
      </c>
      <c r="H11">
        <f>G11*(1-C11+0.05)</f>
        <v>9.9750000000000033E-2</v>
      </c>
    </row>
    <row r="12" spans="1:8" x14ac:dyDescent="0.25">
      <c r="A12">
        <v>64</v>
      </c>
      <c r="B12">
        <v>39.5</v>
      </c>
      <c r="C12">
        <f>(B12-B11)/(B15-B11)</f>
        <v>0.11217587373167981</v>
      </c>
      <c r="D12">
        <v>0.25</v>
      </c>
      <c r="E12">
        <v>-2.2200000000000002</v>
      </c>
      <c r="F12">
        <f t="shared" ref="F12:F15" si="1">(E12+4)/4</f>
        <v>0.44499999999999995</v>
      </c>
      <c r="G12">
        <f>0.6*D12+0.4*F12</f>
        <v>0.32799999999999996</v>
      </c>
      <c r="H12">
        <f>G12*(1-C12+0.05)</f>
        <v>0.30760631341600903</v>
      </c>
    </row>
    <row r="13" spans="1:8" x14ac:dyDescent="0.25">
      <c r="A13">
        <v>128</v>
      </c>
      <c r="B13">
        <v>79.099999999999994</v>
      </c>
      <c r="C13">
        <f>(B13-B11)/(B15-B11)</f>
        <v>0.33540022547914311</v>
      </c>
      <c r="D13">
        <v>0.77080000000000004</v>
      </c>
      <c r="E13">
        <v>-0.08</v>
      </c>
      <c r="F13">
        <f t="shared" si="1"/>
        <v>0.98</v>
      </c>
      <c r="G13">
        <f>0.6*D13+0.4*F13</f>
        <v>0.85448000000000002</v>
      </c>
      <c r="H13" s="2">
        <f>G13*(1-C13+0.05)</f>
        <v>0.61061121533258189</v>
      </c>
    </row>
    <row r="14" spans="1:8" x14ac:dyDescent="0.25">
      <c r="A14">
        <v>224</v>
      </c>
      <c r="B14">
        <v>138</v>
      </c>
      <c r="C14">
        <f>(B14-B11)/(B15-B11)</f>
        <v>0.66741826381059755</v>
      </c>
      <c r="D14">
        <v>0.8125</v>
      </c>
      <c r="E14">
        <v>0.11</v>
      </c>
      <c r="F14">
        <f t="shared" si="1"/>
        <v>1.0275000000000001</v>
      </c>
      <c r="G14">
        <f>0.6*D14+0.4*F14</f>
        <v>0.89850000000000008</v>
      </c>
      <c r="H14">
        <f>G14*(1-C14+0.05)</f>
        <v>0.34374968996617811</v>
      </c>
    </row>
    <row r="15" spans="1:8" x14ac:dyDescent="0.25">
      <c r="A15">
        <v>320</v>
      </c>
      <c r="B15">
        <v>197</v>
      </c>
      <c r="C15">
        <f>(B15-B11)/(B15-B11)</f>
        <v>1</v>
      </c>
      <c r="D15">
        <v>0.70830000000000004</v>
      </c>
      <c r="E15">
        <v>0.17</v>
      </c>
      <c r="F15">
        <f t="shared" si="1"/>
        <v>1.0425</v>
      </c>
      <c r="G15">
        <f>0.6*D15+0.4*F15</f>
        <v>0.84198000000000006</v>
      </c>
      <c r="H15">
        <f>G15*(1-C15+0.05)</f>
        <v>4.2099000000000004E-2</v>
      </c>
    </row>
    <row r="17" spans="1:8" x14ac:dyDescent="0.25">
      <c r="A17" t="s">
        <v>9</v>
      </c>
    </row>
    <row r="18" spans="1:8" x14ac:dyDescent="0.25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10</v>
      </c>
    </row>
    <row r="19" spans="1:8" x14ac:dyDescent="0.25">
      <c r="A19">
        <v>32</v>
      </c>
      <c r="B19">
        <v>19.600000000000001</v>
      </c>
      <c r="C19">
        <f>(B19-B19)/(B23-B19)</f>
        <v>0</v>
      </c>
      <c r="D19">
        <v>4.1700000000000001E-2</v>
      </c>
      <c r="E19">
        <v>-3.4940000000000002</v>
      </c>
      <c r="F19">
        <f>(E19+4)/4</f>
        <v>0.12649999999999995</v>
      </c>
      <c r="G19">
        <f>0.6*D19+0.4*F19</f>
        <v>7.5619999999999979E-2</v>
      </c>
      <c r="H19">
        <f>G19*(1-C19+0.05)</f>
        <v>7.9400999999999985E-2</v>
      </c>
    </row>
    <row r="20" spans="1:8" x14ac:dyDescent="0.25">
      <c r="A20">
        <v>64</v>
      </c>
      <c r="B20">
        <v>39.5</v>
      </c>
      <c r="C20">
        <f>(B20-B19)/(B23-B19)</f>
        <v>0.11217587373167981</v>
      </c>
      <c r="D20">
        <v>0.1875</v>
      </c>
      <c r="E20">
        <v>-2.996</v>
      </c>
      <c r="F20">
        <f t="shared" ref="F20:F23" si="2">(E20+4)/4</f>
        <v>0.251</v>
      </c>
      <c r="G20">
        <f>0.6*D20+0.4*F20</f>
        <v>0.21289999999999998</v>
      </c>
      <c r="H20">
        <f>G20*(1-C20+0.05)</f>
        <v>0.19966275648252535</v>
      </c>
    </row>
    <row r="21" spans="1:8" x14ac:dyDescent="0.25">
      <c r="A21">
        <v>128</v>
      </c>
      <c r="B21">
        <v>79.099999999999994</v>
      </c>
      <c r="C21">
        <f>(B21-B19)/(B23-B19)</f>
        <v>0.33540022547914311</v>
      </c>
      <c r="D21">
        <v>0.66669999999999996</v>
      </c>
      <c r="E21">
        <v>-0.60299999999999998</v>
      </c>
      <c r="F21">
        <f t="shared" si="2"/>
        <v>0.84925000000000006</v>
      </c>
      <c r="G21">
        <f>0.6*D21+0.4*F21</f>
        <v>0.73972000000000004</v>
      </c>
      <c r="H21" s="2">
        <f>G21*(1-C21+0.05)</f>
        <v>0.52860374520856834</v>
      </c>
    </row>
    <row r="22" spans="1:8" x14ac:dyDescent="0.25">
      <c r="A22">
        <v>224</v>
      </c>
      <c r="B22">
        <v>138</v>
      </c>
      <c r="C22">
        <f>(B22-B19)/(B23-B19)</f>
        <v>0.66741826381059755</v>
      </c>
      <c r="D22">
        <v>0.66669999999999996</v>
      </c>
      <c r="E22">
        <v>2.7E-2</v>
      </c>
      <c r="F22">
        <f t="shared" si="2"/>
        <v>1.00675</v>
      </c>
      <c r="G22">
        <f>0.6*D22+0.4*F22</f>
        <v>0.8027200000000001</v>
      </c>
      <c r="H22">
        <f>G22*(1-C22+0.05)</f>
        <v>0.30710601127395715</v>
      </c>
    </row>
    <row r="23" spans="1:8" x14ac:dyDescent="0.25">
      <c r="A23">
        <v>320</v>
      </c>
      <c r="B23">
        <v>197</v>
      </c>
      <c r="C23">
        <f>(B23-B19)/(B23-B19)</f>
        <v>1</v>
      </c>
      <c r="D23">
        <v>0.64580000000000004</v>
      </c>
      <c r="E23">
        <v>7.3999999999999996E-2</v>
      </c>
      <c r="F23">
        <f t="shared" si="2"/>
        <v>1.0185</v>
      </c>
      <c r="G23">
        <f>0.6*D23+0.4*F23</f>
        <v>0.79488000000000003</v>
      </c>
      <c r="H23">
        <f>G23*(1-C23+0.05)</f>
        <v>3.9744000000000002E-2</v>
      </c>
    </row>
    <row r="37" spans="11:13" x14ac:dyDescent="0.25">
      <c r="K37" s="3"/>
      <c r="L37" s="3"/>
      <c r="M37" s="3"/>
    </row>
    <row r="38" spans="11:13" x14ac:dyDescent="0.25">
      <c r="K38" s="3"/>
      <c r="L38" s="3"/>
      <c r="M38" s="3"/>
    </row>
    <row r="39" spans="11:13" x14ac:dyDescent="0.25">
      <c r="K39" s="3"/>
      <c r="L39" s="3"/>
      <c r="M39" s="3"/>
    </row>
    <row r="40" spans="11:13" x14ac:dyDescent="0.25">
      <c r="K40" s="3"/>
      <c r="L40" s="3"/>
      <c r="M40" s="3"/>
    </row>
    <row r="41" spans="11:13" x14ac:dyDescent="0.25">
      <c r="K41" s="3"/>
      <c r="L41" s="3"/>
      <c r="M41" s="3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Drews</dc:creator>
  <cp:lastModifiedBy>Jonas Drews</cp:lastModifiedBy>
  <dcterms:created xsi:type="dcterms:W3CDTF">2026-02-24T21:32:18Z</dcterms:created>
  <dcterms:modified xsi:type="dcterms:W3CDTF">2026-02-24T21:33:05Z</dcterms:modified>
</cp:coreProperties>
</file>