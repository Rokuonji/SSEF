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esktop\JugendForscht\"/>
    </mc:Choice>
  </mc:AlternateContent>
  <xr:revisionPtr revIDLastSave="0" documentId="13_ncr:1_{5B277184-7A1D-4E84-88E7-D32A52B47A05}" xr6:coauthVersionLast="47" xr6:coauthVersionMax="47" xr10:uidLastSave="{00000000-0000-0000-0000-000000000000}"/>
  <bookViews>
    <workbookView xWindow="38280" yWindow="-120" windowWidth="29040" windowHeight="16440" xr2:uid="{4A120959-69D6-41F8-BB13-CFC7C97ECAD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6" i="1" l="1"/>
  <c r="R18" i="1"/>
  <c r="L27" i="1"/>
  <c r="L26" i="1"/>
  <c r="L25" i="1"/>
  <c r="L24" i="1"/>
  <c r="L23" i="1"/>
  <c r="G27" i="1"/>
  <c r="G26" i="1"/>
  <c r="G25" i="1"/>
  <c r="R28" i="1" s="1"/>
  <c r="G24" i="1"/>
  <c r="G23" i="1"/>
  <c r="B27" i="1"/>
  <c r="B26" i="1"/>
  <c r="B25" i="1"/>
  <c r="B24" i="1"/>
  <c r="B23" i="1"/>
  <c r="R20" i="1"/>
  <c r="R30" i="1"/>
  <c r="M12" i="1"/>
  <c r="N12" i="1"/>
  <c r="M19" i="1" s="1"/>
  <c r="L12" i="1"/>
  <c r="M11" i="1"/>
  <c r="N11" i="1"/>
  <c r="M18" i="1" s="1"/>
  <c r="L11" i="1"/>
  <c r="L18" i="1" s="1"/>
  <c r="M10" i="1"/>
  <c r="N10" i="1"/>
  <c r="M17" i="1" s="1"/>
  <c r="L10" i="1"/>
  <c r="N13" i="1"/>
  <c r="M20" i="1" s="1"/>
  <c r="M13" i="1"/>
  <c r="L13" i="1"/>
  <c r="L20" i="1" s="1"/>
  <c r="M9" i="1"/>
  <c r="N9" i="1"/>
  <c r="M16" i="1" s="1"/>
  <c r="L9" i="1"/>
  <c r="H12" i="1"/>
  <c r="I12" i="1"/>
  <c r="H19" i="1" s="1"/>
  <c r="G12" i="1"/>
  <c r="G19" i="1" s="1"/>
  <c r="H9" i="1"/>
  <c r="I9" i="1"/>
  <c r="H16" i="1" s="1"/>
  <c r="G9" i="1"/>
  <c r="H10" i="1"/>
  <c r="I10" i="1"/>
  <c r="H17" i="1" s="1"/>
  <c r="G10" i="1"/>
  <c r="G17" i="1" s="1"/>
  <c r="H11" i="1"/>
  <c r="I11" i="1"/>
  <c r="H18" i="1" s="1"/>
  <c r="G11" i="1"/>
  <c r="H13" i="1"/>
  <c r="I13" i="1"/>
  <c r="H20" i="1" s="1"/>
  <c r="G13" i="1"/>
  <c r="G20" i="1" s="1"/>
  <c r="C13" i="1"/>
  <c r="D13" i="1"/>
  <c r="C20" i="1" s="1"/>
  <c r="B13" i="1"/>
  <c r="B20" i="1" s="1"/>
  <c r="C12" i="1"/>
  <c r="D12" i="1"/>
  <c r="C19" i="1" s="1"/>
  <c r="B12" i="1"/>
  <c r="C10" i="1"/>
  <c r="D10" i="1"/>
  <c r="B10" i="1"/>
  <c r="B11" i="1"/>
  <c r="C11" i="1"/>
  <c r="D11" i="1"/>
  <c r="C9" i="1"/>
  <c r="D9" i="1"/>
  <c r="C16" i="1" s="1"/>
  <c r="B9" i="1"/>
  <c r="G16" i="1" l="1"/>
  <c r="B16" i="1"/>
  <c r="L17" i="1"/>
  <c r="G18" i="1"/>
  <c r="L16" i="1"/>
  <c r="L19" i="1"/>
  <c r="B19" i="1"/>
  <c r="C18" i="1"/>
  <c r="C17" i="1"/>
  <c r="B17" i="1"/>
  <c r="B18" i="1"/>
  <c r="R22" i="1" l="1"/>
</calcChain>
</file>

<file path=xl/sharedStrings.xml><?xml version="1.0" encoding="utf-8"?>
<sst xmlns="http://schemas.openxmlformats.org/spreadsheetml/2006/main" count="63" uniqueCount="28">
  <si>
    <t>kein Unterschied</t>
  </si>
  <si>
    <t>A besser</t>
  </si>
  <si>
    <t>B besser</t>
  </si>
  <si>
    <t>Unterschied</t>
  </si>
  <si>
    <t>Original</t>
  </si>
  <si>
    <t>Komprimiert</t>
  </si>
  <si>
    <t>5 = 32</t>
  </si>
  <si>
    <t>1 = 64</t>
  </si>
  <si>
    <t>2 = 128</t>
  </si>
  <si>
    <t>3 = 224</t>
  </si>
  <si>
    <t>4 = 32</t>
  </si>
  <si>
    <t>5 = 320</t>
  </si>
  <si>
    <t>4 = 128</t>
  </si>
  <si>
    <t>2 = 320</t>
  </si>
  <si>
    <t>5 = 224</t>
  </si>
  <si>
    <t>1 = 128</t>
  </si>
  <si>
    <t>4 = 64</t>
  </si>
  <si>
    <t>3 = 32</t>
  </si>
  <si>
    <t>Original identifiziert</t>
  </si>
  <si>
    <t>Für alle</t>
  </si>
  <si>
    <t>320-224</t>
  </si>
  <si>
    <t>64-32</t>
  </si>
  <si>
    <t>Unterschied erkannt</t>
  </si>
  <si>
    <t>Conan Theme</t>
  </si>
  <si>
    <t>Tom's Diner</t>
  </si>
  <si>
    <t>Bohemian Rhapsody</t>
  </si>
  <si>
    <t>kein Unterschied = Q_subj</t>
  </si>
  <si>
    <t>Probandenzahl n  =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</si>
</sst>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1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2" borderId="0" xfId="0" applyFill="1"/>
    <xf numFmtId="10" fontId="0" fillId="0" borderId="0" xfId="0" applyNumberForma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center"/>
    </xf>
    <xf numFmtId="10" fontId="0" fillId="3" borderId="0" xfId="0" applyNumberFormat="1" applyFill="1"/>
    <xf numFmtId="0" fontId="0" fillId="3" borderId="0" xfId="0" applyFill="1"/>
    <xf numFmtId="10" fontId="0" fillId="4" borderId="0" xfId="0" applyNumberFormat="1" applyFill="1"/>
    <xf numFmtId="0" fontId="0" fillId="4" borderId="0" xfId="0" applyFill="1"/>
    <xf numFmtId="10" fontId="2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1FF00"/>
      <color rgb="FFFF00FF"/>
      <color rgb="FF2596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Tabelle1!$A$23:$A$27</c:f>
              <c:numCache>
                <c:formatCode>General</c:formatCode>
                <c:ptCount val="5"/>
                <c:pt idx="0">
                  <c:v>320</c:v>
                </c:pt>
                <c:pt idx="1">
                  <c:v>224</c:v>
                </c:pt>
                <c:pt idx="2">
                  <c:v>128</c:v>
                </c:pt>
                <c:pt idx="3">
                  <c:v>64</c:v>
                </c:pt>
                <c:pt idx="4">
                  <c:v>32</c:v>
                </c:pt>
              </c:numCache>
            </c:numRef>
          </c:xVal>
          <c:yVal>
            <c:numRef>
              <c:f>Tabelle1!$B$23:$B$27</c:f>
              <c:numCache>
                <c:formatCode>0.00%</c:formatCode>
                <c:ptCount val="5"/>
                <c:pt idx="0">
                  <c:v>0.75</c:v>
                </c:pt>
                <c:pt idx="1">
                  <c:v>0.66666666666666663</c:v>
                </c:pt>
                <c:pt idx="2">
                  <c:v>0.52083333333333337</c:v>
                </c:pt>
                <c:pt idx="3">
                  <c:v>0.22916666666666666</c:v>
                </c:pt>
                <c:pt idx="4">
                  <c:v>2.0833333333333332E-2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45-489C-8C78-F6E208709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617136"/>
        <c:axId val="267623856"/>
      </c:scatterChart>
      <c:valAx>
        <c:axId val="26761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67623856"/>
        <c:crosses val="autoZero"/>
        <c:crossBetween val="midCat"/>
      </c:valAx>
      <c:valAx>
        <c:axId val="26762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67617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Tabelle1!$F$23:$F$27</c:f>
              <c:numCache>
                <c:formatCode>General</c:formatCode>
                <c:ptCount val="5"/>
                <c:pt idx="0">
                  <c:v>320</c:v>
                </c:pt>
                <c:pt idx="1">
                  <c:v>224</c:v>
                </c:pt>
                <c:pt idx="2">
                  <c:v>128</c:v>
                </c:pt>
                <c:pt idx="3">
                  <c:v>64</c:v>
                </c:pt>
                <c:pt idx="4">
                  <c:v>32</c:v>
                </c:pt>
              </c:numCache>
            </c:numRef>
          </c:xVal>
          <c:yVal>
            <c:numRef>
              <c:f>Tabelle1!$G$23:$G$27</c:f>
              <c:numCache>
                <c:formatCode>0.00%</c:formatCode>
                <c:ptCount val="5"/>
                <c:pt idx="0">
                  <c:v>0.70833333333333337</c:v>
                </c:pt>
                <c:pt idx="1">
                  <c:v>0.8125</c:v>
                </c:pt>
                <c:pt idx="2">
                  <c:v>0.77083333333333337</c:v>
                </c:pt>
                <c:pt idx="3">
                  <c:v>0.25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68-45FC-957D-73336EE5A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865184"/>
        <c:axId val="264858944"/>
      </c:scatterChart>
      <c:valAx>
        <c:axId val="264865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64858944"/>
        <c:crosses val="autoZero"/>
        <c:crossBetween val="midCat"/>
      </c:valAx>
      <c:valAx>
        <c:axId val="26485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64865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Tabelle1!$K$23:$K$27</c:f>
              <c:numCache>
                <c:formatCode>General</c:formatCode>
                <c:ptCount val="5"/>
                <c:pt idx="0">
                  <c:v>320</c:v>
                </c:pt>
                <c:pt idx="1">
                  <c:v>224</c:v>
                </c:pt>
                <c:pt idx="2">
                  <c:v>128</c:v>
                </c:pt>
                <c:pt idx="3">
                  <c:v>64</c:v>
                </c:pt>
                <c:pt idx="4">
                  <c:v>32</c:v>
                </c:pt>
              </c:numCache>
            </c:numRef>
          </c:xVal>
          <c:yVal>
            <c:numRef>
              <c:f>Tabelle1!$L$23:$L$27</c:f>
              <c:numCache>
                <c:formatCode>0.00%</c:formatCode>
                <c:ptCount val="5"/>
                <c:pt idx="0">
                  <c:v>0.64583333333333337</c:v>
                </c:pt>
                <c:pt idx="1">
                  <c:v>0.66666666666666663</c:v>
                </c:pt>
                <c:pt idx="2">
                  <c:v>0.66666666666666663</c:v>
                </c:pt>
                <c:pt idx="3">
                  <c:v>0.1875</c:v>
                </c:pt>
                <c:pt idx="4">
                  <c:v>4.1666666666666664E-2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6C-4EAC-BC41-6D9D170A4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620496"/>
        <c:axId val="267629616"/>
      </c:scatterChart>
      <c:valAx>
        <c:axId val="26762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67629616"/>
        <c:crosses val="autoZero"/>
        <c:crossBetween val="midCat"/>
      </c:valAx>
      <c:valAx>
        <c:axId val="26762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67620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28</xdr:row>
      <xdr:rowOff>152400</xdr:rowOff>
    </xdr:from>
    <xdr:to>
      <xdr:col>4</xdr:col>
      <xdr:colOff>466725</xdr:colOff>
      <xdr:row>38</xdr:row>
      <xdr:rowOff>161925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D964859-A2BD-3E04-454B-9ECAA48C8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</xdr:colOff>
      <xdr:row>28</xdr:row>
      <xdr:rowOff>66675</xdr:rowOff>
    </xdr:from>
    <xdr:to>
      <xdr:col>9</xdr:col>
      <xdr:colOff>161925</xdr:colOff>
      <xdr:row>38</xdr:row>
      <xdr:rowOff>180975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5D43A2E5-4803-816F-8A53-C1ABD6590D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647700</xdr:colOff>
      <xdr:row>28</xdr:row>
      <xdr:rowOff>85724</xdr:rowOff>
    </xdr:from>
    <xdr:to>
      <xdr:col>14</xdr:col>
      <xdr:colOff>390525</xdr:colOff>
      <xdr:row>38</xdr:row>
      <xdr:rowOff>190499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4FEDBDB8-B9E5-055B-F007-5124C4E89F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80479-36A0-4916-9453-A03B2A4AA91E}">
  <dimension ref="A1:R30"/>
  <sheetViews>
    <sheetView tabSelected="1" zoomScaleNormal="100" workbookViewId="0">
      <selection activeCell="I3" sqref="I3"/>
    </sheetView>
  </sheetViews>
  <sheetFormatPr baseColWidth="10" defaultRowHeight="15" x14ac:dyDescent="0.25"/>
  <sheetData>
    <row r="1" spans="1:17" x14ac:dyDescent="0.25">
      <c r="A1" s="1" t="s">
        <v>25</v>
      </c>
      <c r="B1" s="4" t="s">
        <v>1</v>
      </c>
      <c r="C1" s="4" t="s">
        <v>2</v>
      </c>
      <c r="D1" s="5" t="s">
        <v>0</v>
      </c>
      <c r="F1" s="1" t="s">
        <v>23</v>
      </c>
      <c r="G1" s="4" t="s">
        <v>1</v>
      </c>
      <c r="H1" s="4" t="s">
        <v>2</v>
      </c>
      <c r="I1" s="5" t="s">
        <v>0</v>
      </c>
      <c r="K1" s="1" t="s">
        <v>24</v>
      </c>
      <c r="L1" s="4" t="s">
        <v>1</v>
      </c>
      <c r="M1" s="4" t="s">
        <v>2</v>
      </c>
      <c r="N1" s="5" t="s">
        <v>0</v>
      </c>
    </row>
    <row r="2" spans="1:17" x14ac:dyDescent="0.25">
      <c r="A2" s="4">
        <v>1</v>
      </c>
      <c r="B2">
        <v>12</v>
      </c>
      <c r="C2">
        <v>11</v>
      </c>
      <c r="D2">
        <v>25</v>
      </c>
      <c r="F2" s="4">
        <v>1</v>
      </c>
      <c r="G2">
        <v>2</v>
      </c>
      <c r="H2">
        <v>34</v>
      </c>
      <c r="I2">
        <v>12</v>
      </c>
      <c r="K2" s="4">
        <v>1</v>
      </c>
      <c r="L2">
        <v>35</v>
      </c>
      <c r="M2">
        <v>4</v>
      </c>
      <c r="N2">
        <v>9</v>
      </c>
    </row>
    <row r="3" spans="1:17" x14ac:dyDescent="0.25">
      <c r="A3" s="4">
        <v>2</v>
      </c>
      <c r="B3">
        <v>5</v>
      </c>
      <c r="C3">
        <v>7</v>
      </c>
      <c r="D3">
        <v>36</v>
      </c>
      <c r="F3" s="4">
        <v>2</v>
      </c>
      <c r="G3">
        <v>7</v>
      </c>
      <c r="H3">
        <v>7</v>
      </c>
      <c r="I3">
        <v>34</v>
      </c>
      <c r="K3" s="4">
        <v>2</v>
      </c>
      <c r="L3">
        <v>6</v>
      </c>
      <c r="M3">
        <v>10</v>
      </c>
      <c r="N3">
        <v>32</v>
      </c>
    </row>
    <row r="4" spans="1:17" x14ac:dyDescent="0.25">
      <c r="A4" s="4">
        <v>3</v>
      </c>
      <c r="B4">
        <v>4</v>
      </c>
      <c r="C4">
        <v>43</v>
      </c>
      <c r="D4">
        <v>1</v>
      </c>
      <c r="F4" s="4">
        <v>3</v>
      </c>
      <c r="G4">
        <v>5</v>
      </c>
      <c r="H4">
        <v>4</v>
      </c>
      <c r="I4">
        <v>39</v>
      </c>
      <c r="K4" s="4">
        <v>3</v>
      </c>
      <c r="L4">
        <v>4</v>
      </c>
      <c r="M4">
        <v>12</v>
      </c>
      <c r="N4">
        <v>32</v>
      </c>
      <c r="P4" s="2" t="s">
        <v>27</v>
      </c>
      <c r="Q4" s="2"/>
    </row>
    <row r="5" spans="1:17" x14ac:dyDescent="0.25">
      <c r="A5" s="4">
        <v>4</v>
      </c>
      <c r="B5">
        <v>34</v>
      </c>
      <c r="C5">
        <v>3</v>
      </c>
      <c r="D5">
        <v>11</v>
      </c>
      <c r="F5" s="4">
        <v>4</v>
      </c>
      <c r="G5">
        <v>5</v>
      </c>
      <c r="H5">
        <v>6</v>
      </c>
      <c r="I5">
        <v>37</v>
      </c>
      <c r="K5" s="4">
        <v>4</v>
      </c>
      <c r="L5">
        <v>2</v>
      </c>
      <c r="M5">
        <v>44</v>
      </c>
      <c r="N5">
        <v>2</v>
      </c>
    </row>
    <row r="6" spans="1:17" x14ac:dyDescent="0.25">
      <c r="A6" s="4">
        <v>5</v>
      </c>
      <c r="B6">
        <v>4</v>
      </c>
      <c r="C6">
        <v>12</v>
      </c>
      <c r="D6">
        <v>32</v>
      </c>
      <c r="F6" s="4">
        <v>5</v>
      </c>
      <c r="G6">
        <v>4</v>
      </c>
      <c r="H6">
        <v>44</v>
      </c>
      <c r="I6">
        <v>0</v>
      </c>
      <c r="K6" s="4">
        <v>5</v>
      </c>
      <c r="L6">
        <v>9</v>
      </c>
      <c r="M6">
        <v>8</v>
      </c>
      <c r="N6">
        <v>31</v>
      </c>
    </row>
    <row r="8" spans="1:17" x14ac:dyDescent="0.25">
      <c r="A8" s="1" t="s">
        <v>25</v>
      </c>
      <c r="B8" s="4" t="s">
        <v>1</v>
      </c>
      <c r="C8" s="4" t="s">
        <v>2</v>
      </c>
      <c r="D8" s="5" t="s">
        <v>0</v>
      </c>
      <c r="F8" s="1" t="s">
        <v>23</v>
      </c>
      <c r="G8" s="4" t="s">
        <v>1</v>
      </c>
      <c r="H8" s="4" t="s">
        <v>2</v>
      </c>
      <c r="I8" s="5" t="s">
        <v>0</v>
      </c>
      <c r="K8" s="1" t="s">
        <v>24</v>
      </c>
      <c r="L8" s="4" t="s">
        <v>1</v>
      </c>
      <c r="M8" s="4" t="s">
        <v>2</v>
      </c>
      <c r="N8" s="5" t="s">
        <v>0</v>
      </c>
    </row>
    <row r="9" spans="1:17" x14ac:dyDescent="0.25">
      <c r="A9" s="4" t="s">
        <v>13</v>
      </c>
      <c r="B9" s="9">
        <f>B3/48</f>
        <v>0.10416666666666667</v>
      </c>
      <c r="C9" s="7">
        <f>C3/48</f>
        <v>0.14583333333333334</v>
      </c>
      <c r="D9" s="3">
        <f>D3/48</f>
        <v>0.75</v>
      </c>
      <c r="F9" s="4" t="s">
        <v>13</v>
      </c>
      <c r="G9" s="9">
        <f t="shared" ref="G9:I11" si="0">G3/48</f>
        <v>0.14583333333333334</v>
      </c>
      <c r="H9" s="7">
        <f t="shared" si="0"/>
        <v>0.14583333333333334</v>
      </c>
      <c r="I9" s="3">
        <f t="shared" si="0"/>
        <v>0.70833333333333337</v>
      </c>
      <c r="K9" s="4" t="s">
        <v>11</v>
      </c>
      <c r="L9" s="9">
        <f>L6/48</f>
        <v>0.1875</v>
      </c>
      <c r="M9" s="7">
        <f>M6/48</f>
        <v>0.16666666666666666</v>
      </c>
      <c r="N9" s="3">
        <f>N6/48</f>
        <v>0.64583333333333337</v>
      </c>
    </row>
    <row r="10" spans="1:17" x14ac:dyDescent="0.25">
      <c r="A10" s="4" t="s">
        <v>14</v>
      </c>
      <c r="B10" s="7">
        <f>B6/48</f>
        <v>8.3333333333333329E-2</v>
      </c>
      <c r="C10" s="9">
        <f>C6/48</f>
        <v>0.25</v>
      </c>
      <c r="D10" s="3">
        <f>D6/48</f>
        <v>0.66666666666666663</v>
      </c>
      <c r="F10" s="4" t="s">
        <v>9</v>
      </c>
      <c r="G10" s="7">
        <f t="shared" si="0"/>
        <v>0.10416666666666667</v>
      </c>
      <c r="H10" s="9">
        <f t="shared" si="0"/>
        <v>8.3333333333333329E-2</v>
      </c>
      <c r="I10" s="3">
        <f t="shared" si="0"/>
        <v>0.8125</v>
      </c>
      <c r="K10" s="4" t="s">
        <v>9</v>
      </c>
      <c r="L10" s="9">
        <f>L4/48</f>
        <v>8.3333333333333329E-2</v>
      </c>
      <c r="M10" s="7">
        <f>M4/48</f>
        <v>0.25</v>
      </c>
      <c r="N10" s="3">
        <f>N4/48</f>
        <v>0.66666666666666663</v>
      </c>
    </row>
    <row r="11" spans="1:17" x14ac:dyDescent="0.25">
      <c r="A11" s="4" t="s">
        <v>15</v>
      </c>
      <c r="B11" s="7">
        <f>B2/48</f>
        <v>0.25</v>
      </c>
      <c r="C11" s="9">
        <f>C2/48</f>
        <v>0.22916666666666666</v>
      </c>
      <c r="D11" s="3">
        <f>D2/48</f>
        <v>0.52083333333333337</v>
      </c>
      <c r="F11" s="4" t="s">
        <v>12</v>
      </c>
      <c r="G11" s="9">
        <f t="shared" si="0"/>
        <v>0.10416666666666667</v>
      </c>
      <c r="H11" s="7">
        <f t="shared" si="0"/>
        <v>0.125</v>
      </c>
      <c r="I11" s="3">
        <f t="shared" si="0"/>
        <v>0.77083333333333337</v>
      </c>
      <c r="K11" s="4" t="s">
        <v>8</v>
      </c>
      <c r="L11" s="7">
        <f>L3/48</f>
        <v>0.125</v>
      </c>
      <c r="M11" s="9">
        <f>M3/48</f>
        <v>0.20833333333333334</v>
      </c>
      <c r="N11" s="3">
        <f>N3/48</f>
        <v>0.66666666666666663</v>
      </c>
      <c r="P11" s="10" t="s">
        <v>4</v>
      </c>
    </row>
    <row r="12" spans="1:17" x14ac:dyDescent="0.25">
      <c r="A12" s="4" t="s">
        <v>16</v>
      </c>
      <c r="B12" s="9">
        <f>B5/48</f>
        <v>0.70833333333333337</v>
      </c>
      <c r="C12" s="7">
        <f>C5/48</f>
        <v>6.25E-2</v>
      </c>
      <c r="D12" s="3">
        <f>D5/48</f>
        <v>0.22916666666666666</v>
      </c>
      <c r="F12" s="4" t="s">
        <v>7</v>
      </c>
      <c r="G12" s="7">
        <f>G2/48</f>
        <v>4.1666666666666664E-2</v>
      </c>
      <c r="H12" s="9">
        <f>H2/48</f>
        <v>0.70833333333333337</v>
      </c>
      <c r="I12" s="3">
        <f>I2/48</f>
        <v>0.25</v>
      </c>
      <c r="K12" s="4" t="s">
        <v>7</v>
      </c>
      <c r="L12" s="9">
        <f>L2/48</f>
        <v>0.72916666666666663</v>
      </c>
      <c r="M12" s="7">
        <f>M2/48</f>
        <v>8.3333333333333329E-2</v>
      </c>
      <c r="N12" s="3">
        <f>N2/48</f>
        <v>0.1875</v>
      </c>
      <c r="P12" s="8" t="s">
        <v>5</v>
      </c>
    </row>
    <row r="13" spans="1:17" x14ac:dyDescent="0.25">
      <c r="A13" s="4" t="s">
        <v>17</v>
      </c>
      <c r="B13" s="7">
        <f>B4/48</f>
        <v>8.3333333333333329E-2</v>
      </c>
      <c r="C13" s="9">
        <f>C4/48</f>
        <v>0.89583333333333337</v>
      </c>
      <c r="D13" s="3">
        <f>D4/48</f>
        <v>2.0833333333333332E-2</v>
      </c>
      <c r="F13" s="4" t="s">
        <v>6</v>
      </c>
      <c r="G13" s="7">
        <f>G6/48</f>
        <v>8.3333333333333329E-2</v>
      </c>
      <c r="H13" s="9">
        <f>H6/48</f>
        <v>0.91666666666666663</v>
      </c>
      <c r="I13" s="3">
        <f>I6/48</f>
        <v>0</v>
      </c>
      <c r="K13" s="4" t="s">
        <v>10</v>
      </c>
      <c r="L13" s="7">
        <f>L5/48</f>
        <v>4.1666666666666664E-2</v>
      </c>
      <c r="M13" s="9">
        <f>M5/48</f>
        <v>0.91666666666666663</v>
      </c>
      <c r="N13" s="3">
        <f>N5/48</f>
        <v>4.1666666666666664E-2</v>
      </c>
    </row>
    <row r="15" spans="1:17" x14ac:dyDescent="0.25">
      <c r="A15" s="1" t="s">
        <v>25</v>
      </c>
      <c r="B15" s="4" t="s">
        <v>3</v>
      </c>
      <c r="C15" s="5" t="s">
        <v>0</v>
      </c>
      <c r="D15" s="2"/>
      <c r="F15" s="1" t="s">
        <v>23</v>
      </c>
      <c r="G15" s="4" t="s">
        <v>3</v>
      </c>
      <c r="H15" s="5" t="s">
        <v>0</v>
      </c>
      <c r="I15" s="2"/>
      <c r="K15" s="1" t="s">
        <v>24</v>
      </c>
      <c r="L15" s="4" t="s">
        <v>3</v>
      </c>
      <c r="M15" s="5" t="s">
        <v>0</v>
      </c>
      <c r="N15" s="2"/>
    </row>
    <row r="16" spans="1:17" x14ac:dyDescent="0.25">
      <c r="A16" s="4">
        <v>320</v>
      </c>
      <c r="B16" s="3">
        <f>SUM(B9,C9)</f>
        <v>0.25</v>
      </c>
      <c r="C16" s="11">
        <f>D9</f>
        <v>0.75</v>
      </c>
      <c r="D16" s="3"/>
      <c r="F16" s="4">
        <v>320</v>
      </c>
      <c r="G16" s="3">
        <f>SUM(G9,H9)</f>
        <v>0.29166666666666669</v>
      </c>
      <c r="H16" s="11">
        <f>I9</f>
        <v>0.70833333333333337</v>
      </c>
      <c r="I16" s="3"/>
      <c r="K16" s="4">
        <v>320</v>
      </c>
      <c r="L16" s="3">
        <f>SUM(L9,M9)</f>
        <v>0.35416666666666663</v>
      </c>
      <c r="M16" s="11">
        <f>N9</f>
        <v>0.64583333333333337</v>
      </c>
      <c r="N16" s="3"/>
    </row>
    <row r="17" spans="1:18" x14ac:dyDescent="0.25">
      <c r="A17" s="4">
        <v>224</v>
      </c>
      <c r="B17" s="3">
        <f>SUM(B10,C10)</f>
        <v>0.33333333333333331</v>
      </c>
      <c r="C17" s="11">
        <f>D10</f>
        <v>0.66666666666666663</v>
      </c>
      <c r="D17" s="3"/>
      <c r="F17" s="4">
        <v>224</v>
      </c>
      <c r="G17" s="3">
        <f>SUM(G10,H10)</f>
        <v>0.1875</v>
      </c>
      <c r="H17" s="11">
        <f>I10</f>
        <v>0.8125</v>
      </c>
      <c r="I17" s="3"/>
      <c r="K17" s="4">
        <v>224</v>
      </c>
      <c r="L17" s="3">
        <f>SUM(L10,M10)</f>
        <v>0.33333333333333331</v>
      </c>
      <c r="M17" s="11">
        <f>N10</f>
        <v>0.66666666666666663</v>
      </c>
      <c r="N17" s="3"/>
      <c r="Q17" s="6" t="s">
        <v>19</v>
      </c>
      <c r="R17" s="2" t="s">
        <v>22</v>
      </c>
    </row>
    <row r="18" spans="1:18" x14ac:dyDescent="0.25">
      <c r="A18" s="4">
        <v>128</v>
      </c>
      <c r="B18" s="3">
        <f>SUM(B11,C11)</f>
        <v>0.47916666666666663</v>
      </c>
      <c r="C18" s="11">
        <f>D11</f>
        <v>0.52083333333333337</v>
      </c>
      <c r="D18" s="3"/>
      <c r="F18" s="4">
        <v>128</v>
      </c>
      <c r="G18" s="3">
        <f>SUM(G11,H11)</f>
        <v>0.22916666666666669</v>
      </c>
      <c r="H18" s="11">
        <f>I11</f>
        <v>0.77083333333333337</v>
      </c>
      <c r="I18" s="3"/>
      <c r="K18" s="4">
        <v>128</v>
      </c>
      <c r="L18" s="3">
        <f>SUM(L11,M11)</f>
        <v>0.33333333333333337</v>
      </c>
      <c r="M18" s="11">
        <f>N11</f>
        <v>0.66666666666666663</v>
      </c>
      <c r="N18" s="3"/>
      <c r="Q18" s="4">
        <v>320</v>
      </c>
      <c r="R18" s="3">
        <f>(B16+G16+L16)/3</f>
        <v>0.2986111111111111</v>
      </c>
    </row>
    <row r="19" spans="1:18" x14ac:dyDescent="0.25">
      <c r="A19" s="4">
        <v>64</v>
      </c>
      <c r="B19" s="3">
        <f>SUM(B12,C12)</f>
        <v>0.77083333333333337</v>
      </c>
      <c r="C19" s="11">
        <f>D12</f>
        <v>0.22916666666666666</v>
      </c>
      <c r="D19" s="3"/>
      <c r="F19" s="4">
        <v>64</v>
      </c>
      <c r="G19" s="3">
        <f>SUM(G12,H12)</f>
        <v>0.75</v>
      </c>
      <c r="H19" s="11">
        <f>I12</f>
        <v>0.25</v>
      </c>
      <c r="I19" s="3"/>
      <c r="K19" s="4">
        <v>64</v>
      </c>
      <c r="L19" s="3">
        <f>SUM(L12,M12)</f>
        <v>0.8125</v>
      </c>
      <c r="M19" s="11">
        <f>N12</f>
        <v>0.1875</v>
      </c>
      <c r="N19" s="3"/>
      <c r="Q19" s="4">
        <v>224</v>
      </c>
    </row>
    <row r="20" spans="1:18" x14ac:dyDescent="0.25">
      <c r="A20" s="4">
        <v>32</v>
      </c>
      <c r="B20" s="3">
        <f>SUM(B13,C13)</f>
        <v>0.97916666666666674</v>
      </c>
      <c r="C20" s="11">
        <f>D13</f>
        <v>2.0833333333333332E-2</v>
      </c>
      <c r="D20" s="3"/>
      <c r="F20" s="4">
        <v>32</v>
      </c>
      <c r="G20" s="3">
        <f>SUM(G13,H13)</f>
        <v>1</v>
      </c>
      <c r="H20" s="11">
        <f>I13</f>
        <v>0</v>
      </c>
      <c r="I20" s="3"/>
      <c r="K20" s="4">
        <v>32</v>
      </c>
      <c r="L20" s="3">
        <f>SUM(L13,M13)</f>
        <v>0.95833333333333326</v>
      </c>
      <c r="M20" s="11">
        <f>N13</f>
        <v>4.1666666666666664E-2</v>
      </c>
      <c r="N20" s="3"/>
      <c r="Q20" s="4">
        <v>128</v>
      </c>
      <c r="R20" s="3">
        <f>(B18+G18+L18)/3</f>
        <v>0.34722222222222215</v>
      </c>
    </row>
    <row r="21" spans="1:18" x14ac:dyDescent="0.25">
      <c r="Q21" s="4">
        <v>64</v>
      </c>
    </row>
    <row r="22" spans="1:18" x14ac:dyDescent="0.25">
      <c r="A22" s="1" t="s">
        <v>25</v>
      </c>
      <c r="B22" s="5" t="s">
        <v>26</v>
      </c>
      <c r="C22" s="5"/>
      <c r="D22" s="2"/>
      <c r="F22" s="1" t="s">
        <v>23</v>
      </c>
      <c r="G22" s="5" t="s">
        <v>18</v>
      </c>
      <c r="H22" s="5"/>
      <c r="I22" s="2"/>
      <c r="K22" s="1" t="s">
        <v>24</v>
      </c>
      <c r="L22" s="5" t="s">
        <v>18</v>
      </c>
      <c r="M22" s="5"/>
      <c r="N22" s="2"/>
      <c r="Q22" s="4">
        <v>32</v>
      </c>
      <c r="R22" s="3">
        <f>(B19+B20+G19+G20+L19+L20)/6</f>
        <v>0.87847222222222221</v>
      </c>
    </row>
    <row r="23" spans="1:18" x14ac:dyDescent="0.25">
      <c r="A23" s="4">
        <v>320</v>
      </c>
      <c r="B23" s="11">
        <f>C16</f>
        <v>0.75</v>
      </c>
      <c r="C23" s="3"/>
      <c r="D23" s="3"/>
      <c r="F23" s="4">
        <v>320</v>
      </c>
      <c r="G23" s="11">
        <f>H16</f>
        <v>0.70833333333333337</v>
      </c>
      <c r="H23" s="3"/>
      <c r="I23" s="3"/>
      <c r="K23" s="4">
        <v>320</v>
      </c>
      <c r="L23" s="11">
        <f>M16</f>
        <v>0.64583333333333337</v>
      </c>
      <c r="M23" s="3"/>
    </row>
    <row r="24" spans="1:18" x14ac:dyDescent="0.25">
      <c r="A24" s="4">
        <v>224</v>
      </c>
      <c r="B24" s="11">
        <f>C17</f>
        <v>0.66666666666666663</v>
      </c>
      <c r="C24" s="3"/>
      <c r="D24" s="3"/>
      <c r="F24" s="4">
        <v>224</v>
      </c>
      <c r="G24" s="11">
        <f>H17</f>
        <v>0.8125</v>
      </c>
      <c r="H24" s="3"/>
      <c r="I24" s="3"/>
      <c r="K24" s="4">
        <v>224</v>
      </c>
      <c r="L24" s="11">
        <f>M17</f>
        <v>0.66666666666666663</v>
      </c>
      <c r="M24" s="3"/>
    </row>
    <row r="25" spans="1:18" x14ac:dyDescent="0.25">
      <c r="A25" s="4">
        <v>128</v>
      </c>
      <c r="B25" s="11">
        <f>C18</f>
        <v>0.52083333333333337</v>
      </c>
      <c r="C25" s="3"/>
      <c r="D25" s="3"/>
      <c r="F25" s="4">
        <v>128</v>
      </c>
      <c r="G25" s="11">
        <f>H18</f>
        <v>0.77083333333333337</v>
      </c>
      <c r="H25" s="3"/>
      <c r="I25" s="3"/>
      <c r="K25" s="4">
        <v>128</v>
      </c>
      <c r="L25" s="11">
        <f>M18</f>
        <v>0.66666666666666663</v>
      </c>
      <c r="M25" s="3"/>
      <c r="Q25" s="6" t="s">
        <v>19</v>
      </c>
      <c r="R25" s="2" t="s">
        <v>18</v>
      </c>
    </row>
    <row r="26" spans="1:18" x14ac:dyDescent="0.25">
      <c r="A26" s="4">
        <v>64</v>
      </c>
      <c r="B26" s="11">
        <f>C19</f>
        <v>0.22916666666666666</v>
      </c>
      <c r="C26" s="3"/>
      <c r="D26" s="3"/>
      <c r="F26" s="4">
        <v>64</v>
      </c>
      <c r="G26" s="11">
        <f>H19</f>
        <v>0.25</v>
      </c>
      <c r="H26" s="3"/>
      <c r="I26" s="3"/>
      <c r="K26" s="4">
        <v>64</v>
      </c>
      <c r="L26" s="11">
        <f>M19</f>
        <v>0.1875</v>
      </c>
      <c r="M26" s="3"/>
      <c r="Q26" s="4" t="s">
        <v>20</v>
      </c>
      <c r="R26" s="3">
        <f>(B23+B24+G23+G24+L23+L24)/6</f>
        <v>0.70833333333333337</v>
      </c>
    </row>
    <row r="27" spans="1:18" x14ac:dyDescent="0.25">
      <c r="A27" s="4">
        <v>32</v>
      </c>
      <c r="B27" s="11">
        <f>C20</f>
        <v>2.0833333333333332E-2</v>
      </c>
      <c r="C27" s="3"/>
      <c r="D27" s="3"/>
      <c r="F27" s="4">
        <v>32</v>
      </c>
      <c r="G27" s="11">
        <f>H20</f>
        <v>0</v>
      </c>
      <c r="H27" s="3"/>
      <c r="I27" s="3"/>
      <c r="K27" s="4">
        <v>32</v>
      </c>
      <c r="L27" s="11">
        <f>M20</f>
        <v>4.1666666666666664E-2</v>
      </c>
      <c r="M27" s="3"/>
      <c r="Q27" s="4"/>
    </row>
    <row r="28" spans="1:18" x14ac:dyDescent="0.25">
      <c r="Q28" s="4">
        <v>128</v>
      </c>
      <c r="R28" s="3">
        <f>(B25+G25+L25)/3</f>
        <v>0.65277777777777779</v>
      </c>
    </row>
    <row r="29" spans="1:18" x14ac:dyDescent="0.25">
      <c r="Q29" s="4"/>
    </row>
    <row r="30" spans="1:18" x14ac:dyDescent="0.25">
      <c r="Q30" s="4" t="s">
        <v>21</v>
      </c>
      <c r="R30" s="3">
        <f>(B26+B27+G26+G27+L26+L27)/6</f>
        <v>0.12152777777777778</v>
      </c>
    </row>
  </sheetData>
  <sortState xmlns:xlrd2="http://schemas.microsoft.com/office/spreadsheetml/2017/richdata2" ref="A16:C20">
    <sortCondition descending="1" ref="A16:A20"/>
  </sortState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Drews</dc:creator>
  <cp:lastModifiedBy>Jonas Drews</cp:lastModifiedBy>
  <dcterms:created xsi:type="dcterms:W3CDTF">2025-11-07T07:01:15Z</dcterms:created>
  <dcterms:modified xsi:type="dcterms:W3CDTF">2026-02-24T21:49:13Z</dcterms:modified>
</cp:coreProperties>
</file>